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Вводные" sheetId="2" state="visible" r:id="rId4"/>
    <sheet name="Прогноз 24 мес" sheetId="3" state="visible" r:id="rId5"/>
    <sheet name="Годовые итоги" sheetId="4" state="visible" r:id="rId6"/>
    <sheet name="Сценари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<sst xmlns="http://schemas.openxmlformats.org/spreadsheetml/2006/main" count="132" uniqueCount="128">
  <si>
    <t xml:space="preserve">Финансовая модель Python Method Center — «Реабилитация без границ»</t>
  </si>
  <si>
    <t xml:space="preserve">Как пользоваться:</t>
  </si>
  <si>
    <t xml:space="preserve">• ЖЁЛТЫЕ ячейки на листе «Вводные» — заполните вашими реальными цифрами. Всё остальное пересчитается само.</t>
  </si>
  <si>
    <t xml:space="preserve">• Синий шрифт = вводные значения (можно менять). Чёрный = формулы (не трогать). Зелёный = ссылки на другой лист.</t>
  </si>
  <si>
    <t xml:space="preserve">• Все суммы в долларах США (USD), без НДС.</t>
  </si>
  <si>
    <t xml:space="preserve">Источники данных:</t>
  </si>
  <si>
    <t xml:space="preserve">• 480 кейсов за 24 месяца, действующая корпорация, 2 года налоговой отчётности — со слов основателя (Анна, 23.07.2026).</t>
  </si>
  <si>
    <t xml:space="preserve">• Стоимость инфраструктуры и ИИ — фактические тарифы Vercel/Supabase/Anthropic/OpenAI, июль 2026.</t>
  </si>
  <si>
    <t xml:space="preserve">• Цены — факт от 23.07.2026: «5 недель» $1200 (+5% сбор, +$180 доставка формулы-подарка) = $1440; «100 дней» $3500 (+5% сбор) = $3675.</t>
  </si>
  <si>
    <t xml:space="preserve">• Жёлтым остались: доля «100 дней», продления, рост, себестоимость подарка, зарплаты, маркетинг, раунд — заполните.</t>
  </si>
  <si>
    <t xml:space="preserve">Листы:</t>
  </si>
  <si>
    <t xml:space="preserve">• «Вводные» — все предположения модели.</t>
  </si>
  <si>
    <t xml:space="preserve">• «Прогноз 24 мес» — помесячный прогноз выручки, затрат, EBITDA и денежной позиции.</t>
  </si>
  <si>
    <t xml:space="preserve">• «Годовые итоги» — итоги по годам и юнит-экономика (LTV, CAC).</t>
  </si>
  <si>
    <t xml:space="preserve">• «Сценарии» — консервативный / базовый / агрессивный рост.</t>
  </si>
  <si>
    <t xml:space="preserve">Вводные и предположения</t>
  </si>
  <si>
    <t xml:space="preserve">ИСТОРИЯ (факт)</t>
  </si>
  <si>
    <t xml:space="preserve">Кейсов за последние 24 месяца (до платформы)</t>
  </si>
  <si>
    <t xml:space="preserve">Факт: работа Карена через Telegram/WhatsApp, оплаты на корпорацию. Со слов основателя.</t>
  </si>
  <si>
    <t xml:space="preserve">Новых клиентов в месяц на старте платформы</t>
  </si>
  <si>
    <t xml:space="preserve">Исторический темп: 480 за 24 мес = 20 в месяц. Формула.</t>
  </si>
  <si>
    <t xml:space="preserve">ЦЕНЫ (заполнить реальными!)</t>
  </si>
  <si>
    <t xml:space="preserve">Цена тарифа «5 недель», $</t>
  </si>
  <si>
    <t xml:space="preserve">ФАКТ — установлено основателем 23.07.2026.</t>
  </si>
  <si>
    <t xml:space="preserve">Цена тарифа «100 дней», $</t>
  </si>
  <si>
    <t xml:space="preserve">Сервисный сбор, % к каждому тарифу</t>
  </si>
  <si>
    <t xml:space="preserve">ФАКТ — 5% добавляется к сумме тарифа.</t>
  </si>
  <si>
    <t xml:space="preserve">Доставка формулы (тариф «5 недель»), $</t>
  </si>
  <si>
    <t xml:space="preserve">ФАКТ — формула отправляется Кареном в подарок, клиент оплачивает доставку $180.</t>
  </si>
  <si>
    <t xml:space="preserve">Себестоимость формулы и доставки, $</t>
  </si>
  <si>
    <t xml:space="preserve">ПРЕДПОЛОЖЕНИЕ — во сколько центру обходится формула + отправка. Замените фактом.</t>
  </si>
  <si>
    <t xml:space="preserve">Доля клиентов, выбирающих «100 дней»</t>
  </si>
  <si>
    <t xml:space="preserve">ПРЕДПОЛОЖЕНИЕ — оцените по вашим 480 кейсам.</t>
  </si>
  <si>
    <t xml:space="preserve">Средний чек (с сбором и доставкой), $</t>
  </si>
  <si>
    <t xml:space="preserve">5 недель: $1200×1,05+$180=$1440; 100 дней: $3500×1,05=$3675. Средневзвешенно. Формула.</t>
  </si>
  <si>
    <t xml:space="preserve">Доля клиентов, продлевающих сопровождение</t>
  </si>
  <si>
    <t xml:space="preserve">ПРЕДПОЛОЖЕНИЕ — доля повторных покупок после завершения тарифа.</t>
  </si>
  <si>
    <t xml:space="preserve">РОСТ</t>
  </si>
  <si>
    <t xml:space="preserve">Рост новых клиентов, % в месяц (базовый сценарий)</t>
  </si>
  <si>
    <t xml:space="preserve">Базовый: +8% в месяц. Сценарии — на листе «Сценарии».</t>
  </si>
  <si>
    <t xml:space="preserve">ЗАТРАТЫ</t>
  </si>
  <si>
    <t xml:space="preserve">Эквайринг Stripe, % от выручки</t>
  </si>
  <si>
    <t xml:space="preserve">2,9% + $0,30 за транзакцию ≈ 3,2% при среднем чеке. Тариф Stripe US, июль 2026.</t>
  </si>
  <si>
    <t xml:space="preserve">ИИ-затраты на активного клиента в месяц, $</t>
  </si>
  <si>
    <t xml:space="preserve">Оценка из фактических тарифов Claude/GPT при текущем режиме «Лучший ответ».</t>
  </si>
  <si>
    <t xml:space="preserve">Инфраструктура (Vercel, Supabase Pro, домен), $/мес</t>
  </si>
  <si>
    <t xml:space="preserve">Факт: Supabase Pro $25 + Vercel Pro ~$20 + резерв. Фиксированные.</t>
  </si>
  <si>
    <t xml:space="preserve">Команда (Карен, Анна, поддержка), $/мес — год 1</t>
  </si>
  <si>
    <t xml:space="preserve">ПРЕДПОЛОЖЕНИЕ — суммарные выплаты команде. Замените реальными.</t>
  </si>
  <si>
    <t xml:space="preserve">Рост затрат на команду в год 2 (множитель)</t>
  </si>
  <si>
    <t xml:space="preserve">ПРЕДПОЛОЖЕНИЕ: расширение команды на 2-м году.</t>
  </si>
  <si>
    <t xml:space="preserve">Маркетинг, % от выручки</t>
  </si>
  <si>
    <t xml:space="preserve">ПРЕДПОЛОЖЕНИЕ — бюджет привлечения.</t>
  </si>
  <si>
    <t xml:space="preserve">Юристы, бухгалтерия, прочее, $/мес</t>
  </si>
  <si>
    <t xml:space="preserve">ПРЕДПОЛОЖЕНИЕ.</t>
  </si>
  <si>
    <t xml:space="preserve">ИНВЕСТИЦИИ И ПРИВЛЕЧЕНИЕ</t>
  </si>
  <si>
    <t xml:space="preserve">Запрашиваемый раунд, $</t>
  </si>
  <si>
    <t xml:space="preserve">ПРЕДПОЛОЖЕНИЕ — сумма, которую вы просите у инвестора.</t>
  </si>
  <si>
    <t xml:space="preserve">Стоимость привлечения клиента (CAC), $</t>
  </si>
  <si>
    <t xml:space="preserve">ПРЕДПОЛОЖЕНИЕ = маркетинг на клиента. Проверится фактом первых месяцев.</t>
  </si>
  <si>
    <t xml:space="preserve">Помесячный прогноз (базовый сценарий)</t>
  </si>
  <si>
    <t xml:space="preserve">Показатель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</si>
  <si>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</si>
  <si>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</si>
  <si>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</si>
  <si>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</si>
  <si>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</si>
  <si>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</si>
  <si>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</si>
  <si>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</si>
  <si>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</si>
  <si>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</si>
  <si>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</si>
  <si>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</si>
  <si>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М13</t>
  </si>
  <si>
    <t xml:space="preserve">М14</t>
  </si>
  <si>
    <t xml:space="preserve">М15</t>
  </si>
  <si>
    <t xml:space="preserve">М16</t>
  </si>
  <si>
    <t xml:space="preserve">М17</t>
  </si>
  <si>
    <t xml:space="preserve">М18</t>
  </si>
  <si>
    <t xml:space="preserve">М19</t>
  </si>
  <si>
    <t xml:space="preserve">М20</t>
  </si>
  <si>
    <t xml:space="preserve">М21</t>
  </si>
  <si>
    <t xml:space="preserve">М22</t>
  </si>
  <si>
    <t xml:space="preserve">М23</t>
  </si>
  <si>
    <t xml:space="preserve">М24</t>
  </si>
  <si>
    <t xml:space="preserve">Новые клиенты</t>
  </si>
  <si>
    <t xml:space="preserve">Продажи «5 недель», шт</t>
  </si>
  <si>
    <t xml:space="preserve">Продажи «100 дней», шт</t>
  </si>
  <si>
    <t xml:space="preserve">Продления, шт</t>
  </si>
  <si>
    <t xml:space="preserve">Выручка новые, $</t>
  </si>
  <si>
    <t xml:space="preserve">Выручка продления, $</t>
  </si>
  <si>
    <t xml:space="preserve">ВЫРУЧКА ИТОГО, $</t>
  </si>
  <si>
    <t xml:space="preserve">Активные клиенты (оценка)</t>
  </si>
  <si>
    <t xml:space="preserve">Эквайринг, $</t>
  </si>
  <si>
    <t xml:space="preserve">ИИ-затраты, $</t>
  </si>
  <si>
    <t xml:space="preserve">ВАЛОВАЯ ПРИБЫЛЬ, $</t>
  </si>
  <si>
    <t xml:space="preserve">Команда, $</t>
  </si>
  <si>
    <t xml:space="preserve">Маркетинг, $</t>
  </si>
  <si>
    <t xml:space="preserve">Инфраструктура и прочее, $</t>
  </si>
  <si>
    <t xml:space="preserve">EBITDA, $</t>
  </si>
  <si>
    <t xml:space="preserve">Денежная позиция (раунд + накопл. EBITDA), $</t>
  </si>
  <si>
    <t xml:space="preserve">Активные клиенты ≈ сумма новых за последние 3 месяца (средняя длительность сопровождения ~10 недель). Продления учитываются со сдвигом в 2 месяца.</t>
  </si>
  <si>
    <t xml:space="preserve">Годовые итоги и юнит-экономика</t>
  </si>
  <si>
    <t xml:space="preserve">Год 1</t>
  </si>
  <si>
    <t xml:space="preserve">Год 2</t>
  </si>
  <si>
    <t xml:space="preserve">Выручка, $</t>
  </si>
  <si>
    <t xml:space="preserve">Валовая прибыль, $</t>
  </si>
  <si>
    <t xml:space="preserve">Валовая маржа, %</t>
  </si>
  <si>
    <t xml:space="preserve">EBITDA-маржа, %</t>
  </si>
  <si>
    <t xml:space="preserve">Новых клиентов за год</t>
  </si>
  <si>
    <t xml:space="preserve">Денежная позиция на конец года, $</t>
  </si>
  <si>
    <t xml:space="preserve">ЮНИТ-ЭКОНОМИКА (на одного клиента)</t>
  </si>
  <si>
    <t xml:space="preserve">Средний чек, $</t>
  </si>
  <si>
    <t xml:space="preserve">LTV (чек × (1 + доля продлений)), $</t>
  </si>
  <si>
    <t xml:space="preserve">CAC, $</t>
  </si>
  <si>
    <t xml:space="preserve">LTV / CAC</t>
  </si>
  <si>
    <t xml:space="preserve">Переменные затраты на клиента (эквайринг + ИИ + подарок), $</t>
  </si>
  <si>
    <t xml:space="preserve">Валовая прибыль на клиента, $</t>
  </si>
  <si>
    <t xml:space="preserve">Сценарии роста (2 года)</t>
  </si>
  <si>
    <t xml:space="preserve">Консервативный</t>
  </si>
  <si>
    <t xml:space="preserve">Базовый</t>
  </si>
  <si>
    <t xml:space="preserve">Агрессивный</t>
  </si>
  <si>
    <t xml:space="preserve">Рост новых клиентов, % в месяц</t>
  </si>
  <si>
    <t xml:space="preserve">Новых клиентов за 24 мес</t>
  </si>
  <si>
    <t xml:space="preserve">Выручка за 24 мес (с продлениями), $</t>
  </si>
  <si>
    <t xml:space="preserve">Средняя выручка в месяц к концу 2-го года, $</t>
  </si>
  <si>
    <t xml:space="preserve">Сценарии считаются по упрощённой формуле геометрического роста; базовый сценарий детально расписан на листе «Прогноз 24 мес».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</si>
</sst>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%"/>
    <numFmt numFmtId="168" formatCode="\$#,##0.00;&quot;($&quot;#,##0.00\);\-"/>
    <numFmt numFmtId="169" formatCode="0.0"/>
    <numFmt numFmtId="170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C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3A2C1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0E6D2"/>
        <bgColor rgb="FFEFEFEF"/>
      </patternFill>
    </fill>
    <fill>
      <patternFill patternType="solid">
        <fgColor rgb="FFEFEFEF"/>
        <bgColor rgb="FFF0E6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6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A2C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26.8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4" t="s">
        <v>15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6" t="s">
        <v>16</v>
      </c>
    </row>
    <row r="4" customFormat="false" ht="15" hidden="false" customHeight="false" outlineLevel="0" collapsed="false">
      <c r="A4" s="7" t="s">
        <v>17</v>
      </c>
      <c r="B4" s="8" t="n">
        <v>480</v>
      </c>
      <c r="C4" s="9" t="s">
        <v>18</v>
      </c>
    </row>
    <row r="5" customFormat="false" ht="15" hidden="false" customHeight="false" outlineLevel="0" collapsed="false">
      <c r="A5" s="7" t="s">
        <v>19</v>
      </c>
      <c r="B5" s="10" t="n">
        <f aca="false">B4/24</f>
        <v>20</v>
      </c>
      <c r="C5" s="9" t="s">
        <v>20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6" t="s">
        <v>21</v>
      </c>
    </row>
    <row r="8" customFormat="false" ht="15" hidden="false" customHeight="false" outlineLevel="0" collapsed="false">
      <c r="A8" s="7" t="s">
        <v>22</v>
      </c>
      <c r="B8" s="11" t="n">
        <v>1200</v>
      </c>
      <c r="C8" s="9" t="s">
        <v>23</v>
      </c>
    </row>
    <row r="9" customFormat="false" ht="15" hidden="false" customHeight="false" outlineLevel="0" collapsed="false">
      <c r="A9" s="7" t="s">
        <v>24</v>
      </c>
      <c r="B9" s="11" t="n">
        <v>3500</v>
      </c>
      <c r="C9" s="9" t="s">
        <v>23</v>
      </c>
    </row>
    <row r="10" customFormat="false" ht="15" hidden="false" customHeight="false" outlineLevel="0" collapsed="false">
      <c r="A10" s="7" t="s">
        <v>25</v>
      </c>
      <c r="B10" s="12" t="n">
        <v>0.05</v>
      </c>
      <c r="C10" s="9" t="s">
        <v>26</v>
      </c>
    </row>
    <row r="11" customFormat="false" ht="15" hidden="false" customHeight="false" outlineLevel="0" collapsed="false">
      <c r="A11" s="7" t="s">
        <v>27</v>
      </c>
      <c r="B11" s="11" t="n">
        <v>180</v>
      </c>
      <c r="C11" s="9" t="s">
        <v>28</v>
      </c>
    </row>
    <row r="12" customFormat="false" ht="15" hidden="false" customHeight="false" outlineLevel="0" collapsed="false">
      <c r="A12" s="7" t="s">
        <v>29</v>
      </c>
      <c r="B12" s="13" t="n">
        <v>120</v>
      </c>
      <c r="C12" s="9" t="s">
        <v>30</v>
      </c>
    </row>
    <row r="13" customFormat="false" ht="15" hidden="false" customHeight="false" outlineLevel="0" collapsed="false">
      <c r="A13" s="7" t="s">
        <v>31</v>
      </c>
      <c r="B13" s="14" t="n">
        <v>0.4</v>
      </c>
      <c r="C13" s="9" t="s">
        <v>32</v>
      </c>
    </row>
    <row r="14" customFormat="false" ht="15" hidden="false" customHeight="false" outlineLevel="0" collapsed="false">
      <c r="A14" s="7" t="s">
        <v>33</v>
      </c>
      <c r="B14" s="15" t="n">
        <f aca="false">(B8*(1+B10)+B11)*(1-B13)+B9*(1+B10)*B13</f>
        <v>2334</v>
      </c>
      <c r="C14" s="9" t="s">
        <v>34</v>
      </c>
    </row>
    <row r="15" customFormat="false" ht="15" hidden="false" customHeight="false" outlineLevel="0" collapsed="false">
      <c r="A15" s="7" t="s">
        <v>35</v>
      </c>
      <c r="B15" s="14" t="n">
        <v>0.2</v>
      </c>
      <c r="C15" s="9" t="s">
        <v>36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6" t="s">
        <v>37</v>
      </c>
    </row>
    <row r="18" customFormat="false" ht="15" hidden="false" customHeight="false" outlineLevel="0" collapsed="false">
      <c r="A18" s="7" t="s">
        <v>38</v>
      </c>
      <c r="B18" s="14" t="n">
        <v>0.08</v>
      </c>
      <c r="C18" s="9" t="s">
        <v>39</v>
      </c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6" t="s">
        <v>40</v>
      </c>
    </row>
    <row r="21" customFormat="false" ht="15" hidden="false" customHeight="false" outlineLevel="0" collapsed="false">
      <c r="A21" s="7" t="s">
        <v>41</v>
      </c>
      <c r="B21" s="12" t="n">
        <v>0.032</v>
      </c>
      <c r="C21" s="9" t="s">
        <v>42</v>
      </c>
    </row>
    <row r="22" customFormat="false" ht="15" hidden="false" customHeight="false" outlineLevel="0" collapsed="false">
      <c r="A22" s="7" t="s">
        <v>43</v>
      </c>
      <c r="B22" s="16" t="n">
        <v>1</v>
      </c>
      <c r="C22" s="9" t="s">
        <v>44</v>
      </c>
    </row>
    <row r="23" customFormat="false" ht="15" hidden="false" customHeight="false" outlineLevel="0" collapsed="false">
      <c r="A23" s="7" t="s">
        <v>45</v>
      </c>
      <c r="B23" s="11" t="n">
        <v>130</v>
      </c>
      <c r="C23" s="9" t="s">
        <v>46</v>
      </c>
    </row>
    <row r="24" customFormat="false" ht="15" hidden="false" customHeight="false" outlineLevel="0" collapsed="false">
      <c r="A24" s="7" t="s">
        <v>47</v>
      </c>
      <c r="B24" s="13" t="n">
        <v>8000</v>
      </c>
      <c r="C24" s="9" t="s">
        <v>48</v>
      </c>
    </row>
    <row r="25" customFormat="false" ht="15" hidden="false" customHeight="false" outlineLevel="0" collapsed="false">
      <c r="A25" s="7" t="s">
        <v>49</v>
      </c>
      <c r="B25" s="17" t="n">
        <v>1.5</v>
      </c>
      <c r="C25" s="9" t="s">
        <v>50</v>
      </c>
    </row>
    <row r="26" customFormat="false" ht="15" hidden="false" customHeight="false" outlineLevel="0" collapsed="false">
      <c r="A26" s="7" t="s">
        <v>51</v>
      </c>
      <c r="B26" s="14" t="n">
        <v>0.15</v>
      </c>
      <c r="C26" s="9" t="s">
        <v>52</v>
      </c>
    </row>
    <row r="27" customFormat="false" ht="15" hidden="false" customHeight="false" outlineLevel="0" collapsed="false">
      <c r="A27" s="7" t="s">
        <v>53</v>
      </c>
      <c r="B27" s="13" t="n">
        <v>500</v>
      </c>
      <c r="C27" s="9" t="s">
        <v>54</v>
      </c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6" t="s">
        <v>55</v>
      </c>
    </row>
    <row r="30" customFormat="false" ht="15" hidden="false" customHeight="false" outlineLevel="0" collapsed="false">
      <c r="A30" s="7" t="s">
        <v>56</v>
      </c>
      <c r="B30" s="13" t="n">
        <v>150000</v>
      </c>
      <c r="C30" s="9" t="s">
        <v>57</v>
      </c>
    </row>
    <row r="31" customFormat="false" ht="15" hidden="false" customHeight="false" outlineLevel="0" collapsed="false">
      <c r="A31" s="7" t="s">
        <v>58</v>
      </c>
      <c r="B31" s="13" t="n">
        <v>60</v>
      </c>
      <c r="C31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6" min="2" style="0" width="11"/>
  </cols>
  <sheetData>
    <row r="1" customFormat="false" ht="17.35" hidden="false" customHeight="false" outlineLevel="0" collapsed="false">
      <c r="A1" s="18" t="s">
        <v>60</v>
      </c>
    </row>
    <row r="2" customFormat="false" ht="15" hidden="false" customHeight="false" outlineLevel="0" collapsed="false">
      <c r="A2" s="19" t="s">
        <v>61</v>
      </c>
      <c r="B2" s="20" t="s">
        <v>62</v>
      </c>
      <c r="C2" s="20" t="s">
        <v>63</v>
      </c>
      <c r="D2" s="20" t="s">
        <v>64</v>
      </c>
      <c r="E2" s="20" t="s">
        <v>65</v>
      </c>
      <c r="F2" s="20" t="s">
        <v>66</v>
      </c>
      <c r="G2" s="20" t="s">
        <v>67</v>
      </c>
      <c r="H2" s="20" t="s">
        <v>68</v>
      </c>
      <c r="I2" s="20" t="s">
        <v>69</v>
      </c>
      <c r="J2" s="20" t="s">
        <v>70</v>
      </c>
      <c r="K2" s="20" t="s">
        <v>71</v>
      </c>
      <c r="L2" s="20" t="s">
        <v>72</v>
      </c>
      <c r="M2" s="20" t="s">
        <v>73</v>
      </c>
      <c r="N2" s="20" t="s">
        <v>74</v>
      </c>
      <c r="O2" s="20" t="s">
        <v>75</v>
      </c>
      <c r="P2" s="20" t="s">
        <v>76</v>
      </c>
      <c r="Q2" s="20" t="s">
        <v>77</v>
      </c>
      <c r="R2" s="20" t="s">
        <v>78</v>
      </c>
      <c r="S2" s="20" t="s">
        <v>79</v>
      </c>
      <c r="T2" s="20" t="s">
        <v>80</v>
      </c>
      <c r="U2" s="20" t="s">
        <v>81</v>
      </c>
      <c r="V2" s="20" t="s">
        <v>82</v>
      </c>
      <c r="W2" s="20" t="s">
        <v>83</v>
      </c>
      <c r="X2" s="20" t="s">
        <v>84</v>
      </c>
      <c r="Y2" s="20" t="s">
        <v>85</v>
      </c>
    </row>
    <row r="3" customFormat="false" ht="15" hidden="false" customHeight="false" outlineLevel="0" collapsed="false">
      <c r="A3" s="21" t="s">
        <v>86</v>
      </c>
      <c r="B3" s="10" t="n">
        <f aca="false">Вводные!$B$5</f>
        <v>20</v>
      </c>
      <c r="C3" s="10" t="n">
        <f aca="false">ROUND(B3*(1+Вводные!$B$18),1)</f>
        <v>21.6</v>
      </c>
      <c r="D3" s="10" t="n">
        <f aca="false">ROUND(C3*(1+Вводные!$B$18),1)</f>
        <v>23.3</v>
      </c>
      <c r="E3" s="10" t="n">
        <f aca="false">ROUND(D3*(1+Вводные!$B$18),1)</f>
        <v>25.2</v>
      </c>
      <c r="F3" s="10" t="n">
        <f aca="false">ROUND(E3*(1+Вводные!$B$18),1)</f>
        <v>27.2</v>
      </c>
      <c r="G3" s="10" t="n">
        <f aca="false">ROUND(F3*(1+Вводные!$B$18),1)</f>
        <v>29.4</v>
      </c>
      <c r="H3" s="10" t="n">
        <f aca="false">ROUND(G3*(1+Вводные!$B$18),1)</f>
        <v>31.8</v>
      </c>
      <c r="I3" s="10" t="n">
        <f aca="false">ROUND(H3*(1+Вводные!$B$18),1)</f>
        <v>34.3</v>
      </c>
      <c r="J3" s="10" t="n">
        <f aca="false">ROUND(I3*(1+Вводные!$B$18),1)</f>
        <v>37</v>
      </c>
      <c r="K3" s="10" t="n">
        <f aca="false">ROUND(J3*(1+Вводные!$B$18),1)</f>
        <v>40</v>
      </c>
      <c r="L3" s="10" t="n">
        <f aca="false">ROUND(K3*(1+Вводные!$B$18),1)</f>
        <v>43.2</v>
      </c>
      <c r="M3" s="10" t="n">
        <f aca="false">ROUND(L3*(1+Вводные!$B$18),1)</f>
        <v>46.7</v>
      </c>
      <c r="N3" s="10" t="n">
        <f aca="false">ROUND(M3*(1+Вводные!$B$18),1)</f>
        <v>50.4</v>
      </c>
      <c r="O3" s="10" t="n">
        <f aca="false">ROUND(N3*(1+Вводные!$B$18),1)</f>
        <v>54.4</v>
      </c>
      <c r="P3" s="10" t="n">
        <f aca="false">ROUND(O3*(1+Вводные!$B$18),1)</f>
        <v>58.8</v>
      </c>
      <c r="Q3" s="10" t="n">
        <f aca="false">ROUND(P3*(1+Вводные!$B$18),1)</f>
        <v>63.5</v>
      </c>
      <c r="R3" s="10" t="n">
        <f aca="false">ROUND(Q3*(1+Вводные!$B$18),1)</f>
        <v>68.6</v>
      </c>
      <c r="S3" s="10" t="n">
        <f aca="false">ROUND(R3*(1+Вводные!$B$18),1)</f>
        <v>74.1</v>
      </c>
      <c r="T3" s="10" t="n">
        <f aca="false">ROUND(S3*(1+Вводные!$B$18),1)</f>
        <v>80</v>
      </c>
      <c r="U3" s="10" t="n">
        <f aca="false">ROUND(T3*(1+Вводные!$B$18),1)</f>
        <v>86.4</v>
      </c>
      <c r="V3" s="10" t="n">
        <f aca="false">ROUND(U3*(1+Вводные!$B$18),1)</f>
        <v>93.3</v>
      </c>
      <c r="W3" s="10" t="n">
        <f aca="false">ROUND(V3*(1+Вводные!$B$18),1)</f>
        <v>100.8</v>
      </c>
      <c r="X3" s="10" t="n">
        <f aca="false">ROUND(W3*(1+Вводные!$B$18),1)</f>
        <v>108.9</v>
      </c>
      <c r="Y3" s="10" t="n">
        <f aca="false">ROUND(X3*(1+Вводные!$B$18),1)</f>
        <v>117.6</v>
      </c>
    </row>
    <row r="4" customFormat="false" ht="15" hidden="false" customHeight="false" outlineLevel="0" collapsed="false">
      <c r="A4" s="21" t="s">
        <v>87</v>
      </c>
      <c r="B4" s="10" t="n">
        <f aca="false">B3*(1-Вводные!$B$13)</f>
        <v>12</v>
      </c>
      <c r="C4" s="10" t="n">
        <f aca="false">C3*(1-Вводные!$B$13)</f>
        <v>12.96</v>
      </c>
      <c r="D4" s="10" t="n">
        <f aca="false">D3*(1-Вводные!$B$13)</f>
        <v>13.98</v>
      </c>
      <c r="E4" s="10" t="n">
        <f aca="false">E3*(1-Вводные!$B$13)</f>
        <v>15.12</v>
      </c>
      <c r="F4" s="10" t="n">
        <f aca="false">F3*(1-Вводные!$B$13)</f>
        <v>16.32</v>
      </c>
      <c r="G4" s="10" t="n">
        <f aca="false">G3*(1-Вводные!$B$13)</f>
        <v>17.64</v>
      </c>
      <c r="H4" s="10" t="n">
        <f aca="false">H3*(1-Вводные!$B$13)</f>
        <v>19.08</v>
      </c>
      <c r="I4" s="10" t="n">
        <f aca="false">I3*(1-Вводные!$B$13)</f>
        <v>20.58</v>
      </c>
      <c r="J4" s="10" t="n">
        <f aca="false">J3*(1-Вводные!$B$13)</f>
        <v>22.2</v>
      </c>
      <c r="K4" s="10" t="n">
        <f aca="false">K3*(1-Вводные!$B$13)</f>
        <v>24</v>
      </c>
      <c r="L4" s="10" t="n">
        <f aca="false">L3*(1-Вводные!$B$13)</f>
        <v>25.92</v>
      </c>
      <c r="M4" s="10" t="n">
        <f aca="false">M3*(1-Вводные!$B$13)</f>
        <v>28.02</v>
      </c>
      <c r="N4" s="10" t="n">
        <f aca="false">N3*(1-Вводные!$B$13)</f>
        <v>30.24</v>
      </c>
      <c r="O4" s="10" t="n">
        <f aca="false">O3*(1-Вводные!$B$13)</f>
        <v>32.64</v>
      </c>
      <c r="P4" s="10" t="n">
        <f aca="false">P3*(1-Вводные!$B$13)</f>
        <v>35.28</v>
      </c>
      <c r="Q4" s="10" t="n">
        <f aca="false">Q3*(1-Вводные!$B$13)</f>
        <v>38.1</v>
      </c>
      <c r="R4" s="10" t="n">
        <f aca="false">R3*(1-Вводные!$B$13)</f>
        <v>41.16</v>
      </c>
      <c r="S4" s="10" t="n">
        <f aca="false">S3*(1-Вводные!$B$13)</f>
        <v>44.46</v>
      </c>
      <c r="T4" s="10" t="n">
        <f aca="false">T3*(1-Вводные!$B$13)</f>
        <v>48</v>
      </c>
      <c r="U4" s="10" t="n">
        <f aca="false">U3*(1-Вводные!$B$13)</f>
        <v>51.84</v>
      </c>
      <c r="V4" s="10" t="n">
        <f aca="false">V3*(1-Вводные!$B$13)</f>
        <v>55.98</v>
      </c>
      <c r="W4" s="10" t="n">
        <f aca="false">W3*(1-Вводные!$B$13)</f>
        <v>60.48</v>
      </c>
      <c r="X4" s="10" t="n">
        <f aca="false">X3*(1-Вводные!$B$13)</f>
        <v>65.34</v>
      </c>
      <c r="Y4" s="10" t="n">
        <f aca="false">Y3*(1-Вводные!$B$13)</f>
        <v>70.56</v>
      </c>
    </row>
    <row r="5" customFormat="false" ht="15" hidden="false" customHeight="false" outlineLevel="0" collapsed="false">
      <c r="A5" s="21" t="s">
        <v>88</v>
      </c>
      <c r="B5" s="10" t="n">
        <f aca="false">B3*Вводные!$B$13</f>
        <v>8</v>
      </c>
      <c r="C5" s="10" t="n">
        <f aca="false">C3*Вводные!$B$13</f>
        <v>8.64</v>
      </c>
      <c r="D5" s="10" t="n">
        <f aca="false">D3*Вводные!$B$13</f>
        <v>9.32</v>
      </c>
      <c r="E5" s="10" t="n">
        <f aca="false">E3*Вводные!$B$13</f>
        <v>10.08</v>
      </c>
      <c r="F5" s="10" t="n">
        <f aca="false">F3*Вводные!$B$13</f>
        <v>10.88</v>
      </c>
      <c r="G5" s="10" t="n">
        <f aca="false">G3*Вводные!$B$13</f>
        <v>11.76</v>
      </c>
      <c r="H5" s="10" t="n">
        <f aca="false">H3*Вводные!$B$13</f>
        <v>12.72</v>
      </c>
      <c r="I5" s="10" t="n">
        <f aca="false">I3*Вводные!$B$13</f>
        <v>13.72</v>
      </c>
      <c r="J5" s="10" t="n">
        <f aca="false">J3*Вводные!$B$13</f>
        <v>14.8</v>
      </c>
      <c r="K5" s="10" t="n">
        <f aca="false">K3*Вводные!$B$13</f>
        <v>16</v>
      </c>
      <c r="L5" s="10" t="n">
        <f aca="false">L3*Вводные!$B$13</f>
        <v>17.28</v>
      </c>
      <c r="M5" s="10" t="n">
        <f aca="false">M3*Вводные!$B$13</f>
        <v>18.68</v>
      </c>
      <c r="N5" s="10" t="n">
        <f aca="false">N3*Вводные!$B$13</f>
        <v>20.16</v>
      </c>
      <c r="O5" s="10" t="n">
        <f aca="false">O3*Вводные!$B$13</f>
        <v>21.76</v>
      </c>
      <c r="P5" s="10" t="n">
        <f aca="false">P3*Вводные!$B$13</f>
        <v>23.52</v>
      </c>
      <c r="Q5" s="10" t="n">
        <f aca="false">Q3*Вводные!$B$13</f>
        <v>25.4</v>
      </c>
      <c r="R5" s="10" t="n">
        <f aca="false">R3*Вводные!$B$13</f>
        <v>27.44</v>
      </c>
      <c r="S5" s="10" t="n">
        <f aca="false">S3*Вводные!$B$13</f>
        <v>29.64</v>
      </c>
      <c r="T5" s="10" t="n">
        <f aca="false">T3*Вводные!$B$13</f>
        <v>32</v>
      </c>
      <c r="U5" s="10" t="n">
        <f aca="false">U3*Вводные!$B$13</f>
        <v>34.56</v>
      </c>
      <c r="V5" s="10" t="n">
        <f aca="false">V3*Вводные!$B$13</f>
        <v>37.32</v>
      </c>
      <c r="W5" s="10" t="n">
        <f aca="false">W3*Вводные!$B$13</f>
        <v>40.32</v>
      </c>
      <c r="X5" s="10" t="n">
        <f aca="false">X3*Вводные!$B$13</f>
        <v>43.56</v>
      </c>
      <c r="Y5" s="10" t="n">
        <f aca="false">Y3*Вводные!$B$13</f>
        <v>47.04</v>
      </c>
    </row>
    <row r="6" customFormat="false" ht="15" hidden="false" customHeight="false" outlineLevel="0" collapsed="false">
      <c r="A6" s="21" t="s">
        <v>89</v>
      </c>
      <c r="B6" s="10" t="n">
        <v>0</v>
      </c>
      <c r="C6" s="10" t="n">
        <v>0</v>
      </c>
      <c r="D6" s="10" t="n">
        <f aca="false">B3*Вводные!$B$15</f>
        <v>4</v>
      </c>
      <c r="E6" s="10" t="n">
        <f aca="false">C3*Вводные!$B$15</f>
        <v>4.32</v>
      </c>
      <c r="F6" s="10" t="n">
        <f aca="false">D3*Вводные!$B$15</f>
        <v>4.66</v>
      </c>
      <c r="G6" s="10" t="n">
        <f aca="false">E3*Вводные!$B$15</f>
        <v>5.04</v>
      </c>
      <c r="H6" s="10" t="n">
        <f aca="false">F3*Вводные!$B$15</f>
        <v>5.44</v>
      </c>
      <c r="I6" s="10" t="n">
        <f aca="false">G3*Вводные!$B$15</f>
        <v>5.88</v>
      </c>
      <c r="J6" s="10" t="n">
        <f aca="false">H3*Вводные!$B$15</f>
        <v>6.36</v>
      </c>
      <c r="K6" s="10" t="n">
        <f aca="false">I3*Вводные!$B$15</f>
        <v>6.86</v>
      </c>
      <c r="L6" s="10" t="n">
        <f aca="false">J3*Вводные!$B$15</f>
        <v>7.4</v>
      </c>
      <c r="M6" s="10" t="n">
        <f aca="false">K3*Вводные!$B$15</f>
        <v>8</v>
      </c>
      <c r="N6" s="10" t="n">
        <f aca="false">L3*Вводные!$B$15</f>
        <v>8.64</v>
      </c>
      <c r="O6" s="10" t="n">
        <f aca="false">M3*Вводные!$B$15</f>
        <v>9.34</v>
      </c>
      <c r="P6" s="10" t="n">
        <f aca="false">N3*Вводные!$B$15</f>
        <v>10.08</v>
      </c>
      <c r="Q6" s="10" t="n">
        <f aca="false">O3*Вводные!$B$15</f>
        <v>10.88</v>
      </c>
      <c r="R6" s="10" t="n">
        <f aca="false">P3*Вводные!$B$15</f>
        <v>11.76</v>
      </c>
      <c r="S6" s="10" t="n">
        <f aca="false">Q3*Вводные!$B$15</f>
        <v>12.7</v>
      </c>
      <c r="T6" s="10" t="n">
        <f aca="false">R3*Вводные!$B$15</f>
        <v>13.72</v>
      </c>
      <c r="U6" s="10" t="n">
        <f aca="false">S3*Вводные!$B$15</f>
        <v>14.82</v>
      </c>
      <c r="V6" s="10" t="n">
        <f aca="false">T3*Вводные!$B$15</f>
        <v>16</v>
      </c>
      <c r="W6" s="10" t="n">
        <f aca="false">U3*Вводные!$B$15</f>
        <v>17.28</v>
      </c>
      <c r="X6" s="10" t="n">
        <f aca="false">V3*Вводные!$B$15</f>
        <v>18.66</v>
      </c>
      <c r="Y6" s="10" t="n">
        <f aca="false">W3*Вводные!$B$15</f>
        <v>20.16</v>
      </c>
    </row>
    <row r="7" customFormat="false" ht="15" hidden="false" customHeight="false" outlineLevel="0" collapsed="false">
      <c r="A7" s="21" t="s">
        <v>90</v>
      </c>
      <c r="B7" s="15" t="n">
        <f aca="false">B4*(Вводные!$B$8*(1+Вводные!$B$10)+Вводные!$B$11)+B5*Вводные!$B$9*(1+Вводные!$B$10)</f>
        <v>46680</v>
      </c>
      <c r="C7" s="15" t="n">
        <f aca="false">C4*(Вводные!$B$8*(1+Вводные!$B$10)+Вводные!$B$11)+C5*Вводные!$B$9*(1+Вводные!$B$10)</f>
        <v>50414.4</v>
      </c>
      <c r="D7" s="15" t="n">
        <f aca="false">D4*(Вводные!$B$8*(1+Вводные!$B$10)+Вводные!$B$11)+D5*Вводные!$B$9*(1+Вводные!$B$10)</f>
        <v>54382.2</v>
      </c>
      <c r="E7" s="15" t="n">
        <f aca="false">E4*(Вводные!$B$8*(1+Вводные!$B$10)+Вводные!$B$11)+E5*Вводные!$B$9*(1+Вводные!$B$10)</f>
        <v>58816.8</v>
      </c>
      <c r="F7" s="15" t="n">
        <f aca="false">F4*(Вводные!$B$8*(1+Вводные!$B$10)+Вводные!$B$11)+F5*Вводные!$B$9*(1+Вводные!$B$10)</f>
        <v>63484.8</v>
      </c>
      <c r="G7" s="15" t="n">
        <f aca="false">G4*(Вводные!$B$8*(1+Вводные!$B$10)+Вводные!$B$11)+G5*Вводные!$B$9*(1+Вводные!$B$10)</f>
        <v>68619.6</v>
      </c>
      <c r="H7" s="15" t="n">
        <f aca="false">H4*(Вводные!$B$8*(1+Вводные!$B$10)+Вводные!$B$11)+H5*Вводные!$B$9*(1+Вводные!$B$10)</f>
        <v>74221.2</v>
      </c>
      <c r="I7" s="15" t="n">
        <f aca="false">I4*(Вводные!$B$8*(1+Вводные!$B$10)+Вводные!$B$11)+I5*Вводные!$B$9*(1+Вводные!$B$10)</f>
        <v>80056.2</v>
      </c>
      <c r="J7" s="15" t="n">
        <f aca="false">J4*(Вводные!$B$8*(1+Вводные!$B$10)+Вводные!$B$11)+J5*Вводные!$B$9*(1+Вводные!$B$10)</f>
        <v>86358</v>
      </c>
      <c r="K7" s="15" t="n">
        <f aca="false">K4*(Вводные!$B$8*(1+Вводные!$B$10)+Вводные!$B$11)+K5*Вводные!$B$9*(1+Вводные!$B$10)</f>
        <v>93360</v>
      </c>
      <c r="L7" s="15" t="n">
        <f aca="false">L4*(Вводные!$B$8*(1+Вводные!$B$10)+Вводные!$B$11)+L5*Вводные!$B$9*(1+Вводные!$B$10)</f>
        <v>100828.8</v>
      </c>
      <c r="M7" s="15" t="n">
        <f aca="false">M4*(Вводные!$B$8*(1+Вводные!$B$10)+Вводные!$B$11)+M5*Вводные!$B$9*(1+Вводные!$B$10)</f>
        <v>108997.8</v>
      </c>
      <c r="N7" s="15" t="n">
        <f aca="false">N4*(Вводные!$B$8*(1+Вводные!$B$10)+Вводные!$B$11)+N5*Вводные!$B$9*(1+Вводные!$B$10)</f>
        <v>117633.6</v>
      </c>
      <c r="O7" s="15" t="n">
        <f aca="false">O4*(Вводные!$B$8*(1+Вводные!$B$10)+Вводные!$B$11)+O5*Вводные!$B$9*(1+Вводные!$B$10)</f>
        <v>126969.6</v>
      </c>
      <c r="P7" s="15" t="n">
        <f aca="false">P4*(Вводные!$B$8*(1+Вводные!$B$10)+Вводные!$B$11)+P5*Вводные!$B$9*(1+Вводные!$B$10)</f>
        <v>137239.2</v>
      </c>
      <c r="Q7" s="15" t="n">
        <f aca="false">Q4*(Вводные!$B$8*(1+Вводные!$B$10)+Вводные!$B$11)+Q5*Вводные!$B$9*(1+Вводные!$B$10)</f>
        <v>148209</v>
      </c>
      <c r="R7" s="15" t="n">
        <f aca="false">R4*(Вводные!$B$8*(1+Вводные!$B$10)+Вводные!$B$11)+R5*Вводные!$B$9*(1+Вводные!$B$10)</f>
        <v>160112.4</v>
      </c>
      <c r="S7" s="15" t="n">
        <f aca="false">S4*(Вводные!$B$8*(1+Вводные!$B$10)+Вводные!$B$11)+S5*Вводные!$B$9*(1+Вводные!$B$10)</f>
        <v>172949.4</v>
      </c>
      <c r="T7" s="15" t="n">
        <f aca="false">T4*(Вводные!$B$8*(1+Вводные!$B$10)+Вводные!$B$11)+T5*Вводные!$B$9*(1+Вводные!$B$10)</f>
        <v>186720</v>
      </c>
      <c r="U7" s="15" t="n">
        <f aca="false">U4*(Вводные!$B$8*(1+Вводные!$B$10)+Вводные!$B$11)+U5*Вводные!$B$9*(1+Вводные!$B$10)</f>
        <v>201657.6</v>
      </c>
      <c r="V7" s="15" t="n">
        <f aca="false">V4*(Вводные!$B$8*(1+Вводные!$B$10)+Вводные!$B$11)+V5*Вводные!$B$9*(1+Вводные!$B$10)</f>
        <v>217762.2</v>
      </c>
      <c r="W7" s="15" t="n">
        <f aca="false">W4*(Вводные!$B$8*(1+Вводные!$B$10)+Вводные!$B$11)+W5*Вводные!$B$9*(1+Вводные!$B$10)</f>
        <v>235267.2</v>
      </c>
      <c r="X7" s="15" t="n">
        <f aca="false">X4*(Вводные!$B$8*(1+Вводные!$B$10)+Вводные!$B$11)+X5*Вводные!$B$9*(1+Вводные!$B$10)</f>
        <v>254172.6</v>
      </c>
      <c r="Y7" s="15" t="n">
        <f aca="false">Y4*(Вводные!$B$8*(1+Вводные!$B$10)+Вводные!$B$11)+Y5*Вводные!$B$9*(1+Вводные!$B$10)</f>
        <v>274478.4</v>
      </c>
    </row>
    <row r="8" customFormat="false" ht="15" hidden="false" customHeight="false" outlineLevel="0" collapsed="false">
      <c r="A8" s="21" t="s">
        <v>91</v>
      </c>
      <c r="B8" s="15" t="n">
        <f aca="false">B6*Вводные!$B$14</f>
        <v>0</v>
      </c>
      <c r="C8" s="15" t="n">
        <f aca="false">C6*Вводные!$B$14</f>
        <v>0</v>
      </c>
      <c r="D8" s="15" t="n">
        <f aca="false">D6*Вводные!$B$14</f>
        <v>9336</v>
      </c>
      <c r="E8" s="15" t="n">
        <f aca="false">E6*Вводные!$B$14</f>
        <v>10082.88</v>
      </c>
      <c r="F8" s="15" t="n">
        <f aca="false">F6*Вводные!$B$14</f>
        <v>10876.44</v>
      </c>
      <c r="G8" s="15" t="n">
        <f aca="false">G6*Вводные!$B$14</f>
        <v>11763.36</v>
      </c>
      <c r="H8" s="15" t="n">
        <f aca="false">H6*Вводные!$B$14</f>
        <v>12696.96</v>
      </c>
      <c r="I8" s="15" t="n">
        <f aca="false">I6*Вводные!$B$14</f>
        <v>13723.92</v>
      </c>
      <c r="J8" s="15" t="n">
        <f aca="false">J6*Вводные!$B$14</f>
        <v>14844.24</v>
      </c>
      <c r="K8" s="15" t="n">
        <f aca="false">K6*Вводные!$B$14</f>
        <v>16011.24</v>
      </c>
      <c r="L8" s="15" t="n">
        <f aca="false">L6*Вводные!$B$14</f>
        <v>17271.6</v>
      </c>
      <c r="M8" s="15" t="n">
        <f aca="false">M6*Вводные!$B$14</f>
        <v>18672</v>
      </c>
      <c r="N8" s="15" t="n">
        <f aca="false">N6*Вводные!$B$14</f>
        <v>20165.76</v>
      </c>
      <c r="O8" s="15" t="n">
        <f aca="false">O6*Вводные!$B$14</f>
        <v>21799.56</v>
      </c>
      <c r="P8" s="15" t="n">
        <f aca="false">P6*Вводные!$B$14</f>
        <v>23526.72</v>
      </c>
      <c r="Q8" s="15" t="n">
        <f aca="false">Q6*Вводные!$B$14</f>
        <v>25393.92</v>
      </c>
      <c r="R8" s="15" t="n">
        <f aca="false">R6*Вводные!$B$14</f>
        <v>27447.84</v>
      </c>
      <c r="S8" s="15" t="n">
        <f aca="false">S6*Вводные!$B$14</f>
        <v>29641.8</v>
      </c>
      <c r="T8" s="15" t="n">
        <f aca="false">T6*Вводные!$B$14</f>
        <v>32022.48</v>
      </c>
      <c r="U8" s="15" t="n">
        <f aca="false">U6*Вводные!$B$14</f>
        <v>34589.88</v>
      </c>
      <c r="V8" s="15" t="n">
        <f aca="false">V6*Вводные!$B$14</f>
        <v>37344</v>
      </c>
      <c r="W8" s="15" t="n">
        <f aca="false">W6*Вводные!$B$14</f>
        <v>40331.52</v>
      </c>
      <c r="X8" s="15" t="n">
        <f aca="false">X6*Вводные!$B$14</f>
        <v>43552.44</v>
      </c>
      <c r="Y8" s="15" t="n">
        <f aca="false">Y6*Вводные!$B$14</f>
        <v>47053.44</v>
      </c>
    </row>
    <row r="9" customFormat="false" ht="15" hidden="false" customHeight="false" outlineLevel="0" collapsed="false">
      <c r="A9" s="22" t="s">
        <v>92</v>
      </c>
      <c r="B9" s="23" t="n">
        <f aca="false">B7+B8</f>
        <v>46680</v>
      </c>
      <c r="C9" s="23" t="n">
        <f aca="false">C7+C8</f>
        <v>50414.4</v>
      </c>
      <c r="D9" s="23" t="n">
        <f aca="false">D7+D8</f>
        <v>63718.2</v>
      </c>
      <c r="E9" s="23" t="n">
        <f aca="false">E7+E8</f>
        <v>68899.68</v>
      </c>
      <c r="F9" s="23" t="n">
        <f aca="false">F7+F8</f>
        <v>74361.24</v>
      </c>
      <c r="G9" s="23" t="n">
        <f aca="false">G7+G8</f>
        <v>80382.96</v>
      </c>
      <c r="H9" s="23" t="n">
        <f aca="false">H7+H8</f>
        <v>86918.16</v>
      </c>
      <c r="I9" s="23" t="n">
        <f aca="false">I7+I8</f>
        <v>93780.12</v>
      </c>
      <c r="J9" s="23" t="n">
        <f aca="false">J7+J8</f>
        <v>101202.24</v>
      </c>
      <c r="K9" s="23" t="n">
        <f aca="false">K7+K8</f>
        <v>109371.24</v>
      </c>
      <c r="L9" s="23" t="n">
        <f aca="false">L7+L8</f>
        <v>118100.4</v>
      </c>
      <c r="M9" s="23" t="n">
        <f aca="false">M7+M8</f>
        <v>127669.8</v>
      </c>
      <c r="N9" s="23" t="n">
        <f aca="false">N7+N8</f>
        <v>137799.36</v>
      </c>
      <c r="O9" s="23" t="n">
        <f aca="false">O7+O8</f>
        <v>148769.16</v>
      </c>
      <c r="P9" s="23" t="n">
        <f aca="false">P7+P8</f>
        <v>160765.92</v>
      </c>
      <c r="Q9" s="23" t="n">
        <f aca="false">Q7+Q8</f>
        <v>173602.92</v>
      </c>
      <c r="R9" s="23" t="n">
        <f aca="false">R7+R8</f>
        <v>187560.24</v>
      </c>
      <c r="S9" s="23" t="n">
        <f aca="false">S7+S8</f>
        <v>202591.2</v>
      </c>
      <c r="T9" s="23" t="n">
        <f aca="false">T7+T8</f>
        <v>218742.48</v>
      </c>
      <c r="U9" s="23" t="n">
        <f aca="false">U7+U8</f>
        <v>236247.48</v>
      </c>
      <c r="V9" s="23" t="n">
        <f aca="false">V7+V8</f>
        <v>255106.2</v>
      </c>
      <c r="W9" s="23" t="n">
        <f aca="false">W7+W8</f>
        <v>275598.72</v>
      </c>
      <c r="X9" s="23" t="n">
        <f aca="false">X7+X8</f>
        <v>297725.04</v>
      </c>
      <c r="Y9" s="23" t="n">
        <f aca="false">Y7+Y8</f>
        <v>321531.84</v>
      </c>
      <c r="Z9" s="24"/>
    </row>
    <row r="10" customFormat="false" ht="15" hidden="false" customHeight="false" outlineLevel="0" collapsed="false">
      <c r="A10" s="21" t="s">
        <v>93</v>
      </c>
      <c r="B10" s="10" t="n">
        <f aca="false">B3</f>
        <v>20</v>
      </c>
      <c r="C10" s="10" t="n">
        <f aca="false">C3+B3</f>
        <v>41.6</v>
      </c>
      <c r="D10" s="10" t="n">
        <f aca="false">D3+C3+B3</f>
        <v>64.9</v>
      </c>
      <c r="E10" s="10" t="n">
        <f aca="false">E3+D3+C3</f>
        <v>70.1</v>
      </c>
      <c r="F10" s="10" t="n">
        <f aca="false">F3+E3+D3</f>
        <v>75.7</v>
      </c>
      <c r="G10" s="10" t="n">
        <f aca="false">G3+F3+E3</f>
        <v>81.8</v>
      </c>
      <c r="H10" s="10" t="n">
        <f aca="false">H3+G3+F3</f>
        <v>88.4</v>
      </c>
      <c r="I10" s="10" t="n">
        <f aca="false">I3+H3+G3</f>
        <v>95.5</v>
      </c>
      <c r="J10" s="10" t="n">
        <f aca="false">J3+I3+H3</f>
        <v>103.1</v>
      </c>
      <c r="K10" s="10" t="n">
        <f aca="false">K3+J3+I3</f>
        <v>111.3</v>
      </c>
      <c r="L10" s="10" t="n">
        <f aca="false">L3+K3+J3</f>
        <v>120.2</v>
      </c>
      <c r="M10" s="10" t="n">
        <f aca="false">M3+L3+K3</f>
        <v>129.9</v>
      </c>
      <c r="N10" s="10" t="n">
        <f aca="false">N3+M3+L3</f>
        <v>140.3</v>
      </c>
      <c r="O10" s="10" t="n">
        <f aca="false">O3+N3+M3</f>
        <v>151.5</v>
      </c>
      <c r="P10" s="10" t="n">
        <f aca="false">P3+O3+N3</f>
        <v>163.6</v>
      </c>
      <c r="Q10" s="10" t="n">
        <f aca="false">Q3+P3+O3</f>
        <v>176.7</v>
      </c>
      <c r="R10" s="10" t="n">
        <f aca="false">R3+Q3+P3</f>
        <v>190.9</v>
      </c>
      <c r="S10" s="10" t="n">
        <f aca="false">S3+R3+Q3</f>
        <v>206.2</v>
      </c>
      <c r="T10" s="10" t="n">
        <f aca="false">T3+S3+R3</f>
        <v>222.7</v>
      </c>
      <c r="U10" s="10" t="n">
        <f aca="false">U3+T3+S3</f>
        <v>240.5</v>
      </c>
      <c r="V10" s="10" t="n">
        <f aca="false">V3+U3+T3</f>
        <v>259.7</v>
      </c>
      <c r="W10" s="10" t="n">
        <f aca="false">W3+V3+U3</f>
        <v>280.5</v>
      </c>
      <c r="X10" s="10" t="n">
        <f aca="false">X3+W3+V3</f>
        <v>303</v>
      </c>
      <c r="Y10" s="10" t="n">
        <f aca="false">Y3+X3+W3</f>
        <v>327.3</v>
      </c>
    </row>
    <row r="11" customFormat="false" ht="15" hidden="false" customHeight="false" outlineLevel="0" collapsed="false">
      <c r="A11" s="21" t="s">
        <v>94</v>
      </c>
      <c r="B11" s="15" t="n">
        <f aca="false">B9*Вводные!$B$21</f>
        <v>1493.76</v>
      </c>
      <c r="C11" s="15" t="n">
        <f aca="false">C9*Вводные!$B$21</f>
        <v>1613.2608</v>
      </c>
      <c r="D11" s="15" t="n">
        <f aca="false">D9*Вводные!$B$21</f>
        <v>2038.9824</v>
      </c>
      <c r="E11" s="15" t="n">
        <f aca="false">E9*Вводные!$B$21</f>
        <v>2204.78976</v>
      </c>
      <c r="F11" s="15" t="n">
        <f aca="false">F9*Вводные!$B$21</f>
        <v>2379.55968</v>
      </c>
      <c r="G11" s="15" t="n">
        <f aca="false">G9*Вводные!$B$21</f>
        <v>2572.25472</v>
      </c>
      <c r="H11" s="15" t="n">
        <f aca="false">H9*Вводные!$B$21</f>
        <v>2781.38112</v>
      </c>
      <c r="I11" s="15" t="n">
        <f aca="false">I9*Вводные!$B$21</f>
        <v>3000.96384</v>
      </c>
      <c r="J11" s="15" t="n">
        <f aca="false">J9*Вводные!$B$21</f>
        <v>3238.47168</v>
      </c>
      <c r="K11" s="15" t="n">
        <f aca="false">K9*Вводные!$B$21</f>
        <v>3499.87968</v>
      </c>
      <c r="L11" s="15" t="n">
        <f aca="false">L9*Вводные!$B$21</f>
        <v>3779.2128</v>
      </c>
      <c r="M11" s="15" t="n">
        <f aca="false">M9*Вводные!$B$21</f>
        <v>4085.4336</v>
      </c>
      <c r="N11" s="15" t="n">
        <f aca="false">N9*Вводные!$B$21</f>
        <v>4409.57952</v>
      </c>
      <c r="O11" s="15" t="n">
        <f aca="false">O9*Вводные!$B$21</f>
        <v>4760.61312</v>
      </c>
      <c r="P11" s="15" t="n">
        <f aca="false">P9*Вводные!$B$21</f>
        <v>5144.50944</v>
      </c>
      <c r="Q11" s="15" t="n">
        <f aca="false">Q9*Вводные!$B$21</f>
        <v>5555.29344</v>
      </c>
      <c r="R11" s="15" t="n">
        <f aca="false">R9*Вводные!$B$21</f>
        <v>6001.92768</v>
      </c>
      <c r="S11" s="15" t="n">
        <f aca="false">S9*Вводные!$B$21</f>
        <v>6482.9184</v>
      </c>
      <c r="T11" s="15" t="n">
        <f aca="false">T9*Вводные!$B$21</f>
        <v>6999.75936</v>
      </c>
      <c r="U11" s="15" t="n">
        <f aca="false">U9*Вводные!$B$21</f>
        <v>7559.91936</v>
      </c>
      <c r="V11" s="15" t="n">
        <f aca="false">V9*Вводные!$B$21</f>
        <v>8163.3984</v>
      </c>
      <c r="W11" s="15" t="n">
        <f aca="false">W9*Вводные!$B$21</f>
        <v>8819.15904</v>
      </c>
      <c r="X11" s="15" t="n">
        <f aca="false">X9*Вводные!$B$21</f>
        <v>9527.20128</v>
      </c>
      <c r="Y11" s="15" t="n">
        <f aca="false">Y9*Вводные!$B$21</f>
        <v>10289.01888</v>
      </c>
    </row>
    <row r="12" customFormat="false" ht="15" hidden="false" customHeight="false" outlineLevel="0" collapsed="false">
      <c r="A12" s="21" t="s">
        <v>95</v>
      </c>
      <c r="B12" s="15" t="n">
        <f aca="false">B10*Вводные!$B$22</f>
        <v>20</v>
      </c>
      <c r="C12" s="15" t="n">
        <f aca="false">C10*Вводные!$B$22</f>
        <v>41.6</v>
      </c>
      <c r="D12" s="15" t="n">
        <f aca="false">D10*Вводные!$B$22</f>
        <v>64.9</v>
      </c>
      <c r="E12" s="15" t="n">
        <f aca="false">E10*Вводные!$B$22</f>
        <v>70.1</v>
      </c>
      <c r="F12" s="15" t="n">
        <f aca="false">F10*Вводные!$B$22</f>
        <v>75.7</v>
      </c>
      <c r="G12" s="15" t="n">
        <f aca="false">G10*Вводные!$B$22</f>
        <v>81.8</v>
      </c>
      <c r="H12" s="15" t="n">
        <f aca="false">H10*Вводные!$B$22</f>
        <v>88.4</v>
      </c>
      <c r="I12" s="15" t="n">
        <f aca="false">I10*Вводные!$B$22</f>
        <v>95.5</v>
      </c>
      <c r="J12" s="15" t="n">
        <f aca="false">J10*Вводные!$B$22</f>
        <v>103.1</v>
      </c>
      <c r="K12" s="15" t="n">
        <f aca="false">K10*Вводные!$B$22</f>
        <v>111.3</v>
      </c>
      <c r="L12" s="15" t="n">
        <f aca="false">L10*Вводные!$B$22</f>
        <v>120.2</v>
      </c>
      <c r="M12" s="15" t="n">
        <f aca="false">M10*Вводные!$B$22</f>
        <v>129.9</v>
      </c>
      <c r="N12" s="15" t="n">
        <f aca="false">N10*Вводные!$B$22</f>
        <v>140.3</v>
      </c>
      <c r="O12" s="15" t="n">
        <f aca="false">O10*Вводные!$B$22</f>
        <v>151.5</v>
      </c>
      <c r="P12" s="15" t="n">
        <f aca="false">P10*Вводные!$B$22</f>
        <v>163.6</v>
      </c>
      <c r="Q12" s="15" t="n">
        <f aca="false">Q10*Вводные!$B$22</f>
        <v>176.7</v>
      </c>
      <c r="R12" s="15" t="n">
        <f aca="false">R10*Вводные!$B$22</f>
        <v>190.9</v>
      </c>
      <c r="S12" s="15" t="n">
        <f aca="false">S10*Вводные!$B$22</f>
        <v>206.2</v>
      </c>
      <c r="T12" s="15" t="n">
        <f aca="false">T10*Вводные!$B$22</f>
        <v>222.7</v>
      </c>
      <c r="U12" s="15" t="n">
        <f aca="false">U10*Вводные!$B$22</f>
        <v>240.5</v>
      </c>
      <c r="V12" s="15" t="n">
        <f aca="false">V10*Вводные!$B$22</f>
        <v>259.7</v>
      </c>
      <c r="W12" s="15" t="n">
        <f aca="false">W10*Вводные!$B$22</f>
        <v>280.5</v>
      </c>
      <c r="X12" s="15" t="n">
        <f aca="false">X10*Вводные!$B$22</f>
        <v>303</v>
      </c>
      <c r="Y12" s="15" t="n">
        <f aca="false">Y10*Вводные!$B$22</f>
        <v>327.3</v>
      </c>
    </row>
    <row r="13" customFormat="false" ht="15" hidden="false" customHeight="false" outlineLevel="0" collapsed="false">
      <c r="A13" s="22" t="s">
        <v>96</v>
      </c>
      <c r="B13" s="23" t="n">
        <f aca="false">B9-B11-B12-B4*Вводные!$B$12</f>
        <v>43726.24</v>
      </c>
      <c r="C13" s="23" t="n">
        <f aca="false">C9-C11-C12-C4*Вводные!$B$12</f>
        <v>47204.3392</v>
      </c>
      <c r="D13" s="23" t="n">
        <f aca="false">D9-D11-D12-D4*Вводные!$B$12</f>
        <v>59936.7176</v>
      </c>
      <c r="E13" s="23" t="n">
        <f aca="false">E9-E11-E12-E4*Вводные!$B$12</f>
        <v>64810.39024</v>
      </c>
      <c r="F13" s="23" t="n">
        <f aca="false">F9-F11-F12-F4*Вводные!$B$12</f>
        <v>69947.58032</v>
      </c>
      <c r="G13" s="23" t="n">
        <f aca="false">G9-G11-G12-G4*Вводные!$B$12</f>
        <v>75612.10528</v>
      </c>
      <c r="H13" s="23" t="n">
        <f aca="false">H9-H11-H12-H4*Вводные!$B$12</f>
        <v>81758.77888</v>
      </c>
      <c r="I13" s="23" t="n">
        <f aca="false">I9-I11-I12-I4*Вводные!$B$12</f>
        <v>88214.05616</v>
      </c>
      <c r="J13" s="23" t="n">
        <f aca="false">J9-J11-J12-J4*Вводные!$B$12</f>
        <v>95196.66832</v>
      </c>
      <c r="K13" s="23" t="n">
        <f aca="false">K9-K11-K12-K4*Вводные!$B$12</f>
        <v>102880.06032</v>
      </c>
      <c r="L13" s="23" t="n">
        <f aca="false">L9-L11-L12-L4*Вводные!$B$12</f>
        <v>111090.5872</v>
      </c>
      <c r="M13" s="23" t="n">
        <f aca="false">M9-M11-M12-M4*Вводные!$B$12</f>
        <v>120092.0664</v>
      </c>
      <c r="N13" s="23" t="n">
        <f aca="false">N9-N11-N12-N4*Вводные!$B$12</f>
        <v>129620.68048</v>
      </c>
      <c r="O13" s="23" t="n">
        <f aca="false">O9-O11-O12-O4*Вводные!$B$12</f>
        <v>139940.24688</v>
      </c>
      <c r="P13" s="23" t="n">
        <f aca="false">P9-P11-P12-P4*Вводные!$B$12</f>
        <v>151224.21056</v>
      </c>
      <c r="Q13" s="23" t="n">
        <f aca="false">Q9-Q11-Q12-Q4*Вводные!$B$12</f>
        <v>163298.92656</v>
      </c>
      <c r="R13" s="23" t="n">
        <f aca="false">R9-R11-R12-R4*Вводные!$B$12</f>
        <v>176428.21232</v>
      </c>
      <c r="S13" s="23" t="n">
        <f aca="false">S9-S11-S12-S4*Вводные!$B$12</f>
        <v>190566.8816</v>
      </c>
      <c r="T13" s="23" t="n">
        <f aca="false">T9-T11-T12-T4*Вводные!$B$12</f>
        <v>205760.02064</v>
      </c>
      <c r="U13" s="23" t="n">
        <f aca="false">U9-U11-U12-U4*Вводные!$B$12</f>
        <v>222226.26064</v>
      </c>
      <c r="V13" s="23" t="n">
        <f aca="false">V9-V11-V12-V4*Вводные!$B$12</f>
        <v>239965.5016</v>
      </c>
      <c r="W13" s="23" t="n">
        <f aca="false">W9-W11-W12-W4*Вводные!$B$12</f>
        <v>259241.46096</v>
      </c>
      <c r="X13" s="23" t="n">
        <f aca="false">X9-X11-X12-X4*Вводные!$B$12</f>
        <v>280054.03872</v>
      </c>
      <c r="Y13" s="23" t="n">
        <f aca="false">Y9-Y11-Y12-Y4*Вводные!$B$12</f>
        <v>302448.32112</v>
      </c>
      <c r="Z13" s="24"/>
    </row>
    <row r="14" customFormat="false" ht="15" hidden="false" customHeight="false" outlineLevel="0" collapsed="false">
      <c r="A14" s="21" t="s">
        <v>97</v>
      </c>
      <c r="B14" s="15" t="n">
        <f aca="false">IF(1&gt;12,Вводные!$B$24*Вводные!$B$25,Вводные!$B$24)</f>
        <v>8000</v>
      </c>
      <c r="C14" s="15" t="n">
        <f aca="false">IF(2&gt;12,Вводные!$B$24*Вводные!$B$25,Вводные!$B$24)</f>
        <v>8000</v>
      </c>
      <c r="D14" s="15" t="n">
        <f aca="false">IF(3&gt;12,Вводные!$B$24*Вводные!$B$25,Вводные!$B$24)</f>
        <v>8000</v>
      </c>
      <c r="E14" s="15" t="n">
        <f aca="false">IF(4&gt;12,Вводные!$B$24*Вводные!$B$25,Вводные!$B$24)</f>
        <v>8000</v>
      </c>
      <c r="F14" s="15" t="n">
        <f aca="false">IF(5&gt;12,Вводные!$B$24*Вводные!$B$25,Вводные!$B$24)</f>
        <v>8000</v>
      </c>
      <c r="G14" s="15" t="n">
        <f aca="false">IF(6&gt;12,Вводные!$B$24*Вводные!$B$25,Вводные!$B$24)</f>
        <v>8000</v>
      </c>
      <c r="H14" s="15" t="n">
        <f aca="false">IF(7&gt;12,Вводные!$B$24*Вводные!$B$25,Вводные!$B$24)</f>
        <v>8000</v>
      </c>
      <c r="I14" s="15" t="n">
        <f aca="false">IF(8&gt;12,Вводные!$B$24*Вводные!$B$25,Вводные!$B$24)</f>
        <v>8000</v>
      </c>
      <c r="J14" s="15" t="n">
        <f aca="false">IF(9&gt;12,Вводные!$B$24*Вводные!$B$25,Вводные!$B$24)</f>
        <v>8000</v>
      </c>
      <c r="K14" s="15" t="n">
        <f aca="false">IF(10&gt;12,Вводные!$B$24*Вводные!$B$25,Вводные!$B$24)</f>
        <v>8000</v>
      </c>
      <c r="L14" s="15" t="n">
        <f aca="false">IF(11&gt;12,Вводные!$B$24*Вводные!$B$25,Вводные!$B$24)</f>
        <v>8000</v>
      </c>
      <c r="M14" s="15" t="n">
        <f aca="false">IF(12&gt;12,Вводные!$B$24*Вводные!$B$25,Вводные!$B$24)</f>
        <v>8000</v>
      </c>
      <c r="N14" s="15" t="n">
        <f aca="false">IF(13&gt;12,Вводные!$B$24*Вводные!$B$25,Вводные!$B$24)</f>
        <v>12000</v>
      </c>
      <c r="O14" s="15" t="n">
        <f aca="false">IF(14&gt;12,Вводные!$B$24*Вводные!$B$25,Вводные!$B$24)</f>
        <v>12000</v>
      </c>
      <c r="P14" s="15" t="n">
        <f aca="false">IF(15&gt;12,Вводные!$B$24*Вводные!$B$25,Вводные!$B$24)</f>
        <v>12000</v>
      </c>
      <c r="Q14" s="15" t="n">
        <f aca="false">IF(16&gt;12,Вводные!$B$24*Вводные!$B$25,Вводные!$B$24)</f>
        <v>12000</v>
      </c>
      <c r="R14" s="15" t="n">
        <f aca="false">IF(17&gt;12,Вводные!$B$24*Вводные!$B$25,Вводные!$B$24)</f>
        <v>12000</v>
      </c>
      <c r="S14" s="15" t="n">
        <f aca="false">IF(18&gt;12,Вводные!$B$24*Вводные!$B$25,Вводные!$B$24)</f>
        <v>12000</v>
      </c>
      <c r="T14" s="15" t="n">
        <f aca="false">IF(19&gt;12,Вводные!$B$24*Вводные!$B$25,Вводные!$B$24)</f>
        <v>12000</v>
      </c>
      <c r="U14" s="15" t="n">
        <f aca="false">IF(20&gt;12,Вводные!$B$24*Вводные!$B$25,Вводные!$B$24)</f>
        <v>12000</v>
      </c>
      <c r="V14" s="15" t="n">
        <f aca="false">IF(21&gt;12,Вводные!$B$24*Вводные!$B$25,Вводные!$B$24)</f>
        <v>12000</v>
      </c>
      <c r="W14" s="15" t="n">
        <f aca="false">IF(22&gt;12,Вводные!$B$24*Вводные!$B$25,Вводные!$B$24)</f>
        <v>12000</v>
      </c>
      <c r="X14" s="15" t="n">
        <f aca="false">IF(23&gt;12,Вводные!$B$24*Вводные!$B$25,Вводные!$B$24)</f>
        <v>12000</v>
      </c>
      <c r="Y14" s="15" t="n">
        <f aca="false">IF(24&gt;12,Вводные!$B$24*Вводные!$B$25,Вводные!$B$24)</f>
        <v>12000</v>
      </c>
    </row>
    <row r="15" customFormat="false" ht="15" hidden="false" customHeight="false" outlineLevel="0" collapsed="false">
      <c r="A15" s="21" t="s">
        <v>98</v>
      </c>
      <c r="B15" s="15" t="n">
        <f aca="false">B9*Вводные!$B$26</f>
        <v>7002</v>
      </c>
      <c r="C15" s="15" t="n">
        <f aca="false">C9*Вводные!$B$26</f>
        <v>7562.16</v>
      </c>
      <c r="D15" s="15" t="n">
        <f aca="false">D9*Вводные!$B$26</f>
        <v>9557.73</v>
      </c>
      <c r="E15" s="15" t="n">
        <f aca="false">E9*Вводные!$B$26</f>
        <v>10334.952</v>
      </c>
      <c r="F15" s="15" t="n">
        <f aca="false">F9*Вводные!$B$26</f>
        <v>11154.186</v>
      </c>
      <c r="G15" s="15" t="n">
        <f aca="false">G9*Вводные!$B$26</f>
        <v>12057.444</v>
      </c>
      <c r="H15" s="15" t="n">
        <f aca="false">H9*Вводные!$B$26</f>
        <v>13037.724</v>
      </c>
      <c r="I15" s="15" t="n">
        <f aca="false">I9*Вводные!$B$26</f>
        <v>14067.018</v>
      </c>
      <c r="J15" s="15" t="n">
        <f aca="false">J9*Вводные!$B$26</f>
        <v>15180.336</v>
      </c>
      <c r="K15" s="15" t="n">
        <f aca="false">K9*Вводные!$B$26</f>
        <v>16405.686</v>
      </c>
      <c r="L15" s="15" t="n">
        <f aca="false">L9*Вводные!$B$26</f>
        <v>17715.06</v>
      </c>
      <c r="M15" s="15" t="n">
        <f aca="false">M9*Вводные!$B$26</f>
        <v>19150.47</v>
      </c>
      <c r="N15" s="15" t="n">
        <f aca="false">N9*Вводные!$B$26</f>
        <v>20669.904</v>
      </c>
      <c r="O15" s="15" t="n">
        <f aca="false">O9*Вводные!$B$26</f>
        <v>22315.374</v>
      </c>
      <c r="P15" s="15" t="n">
        <f aca="false">P9*Вводные!$B$26</f>
        <v>24114.888</v>
      </c>
      <c r="Q15" s="15" t="n">
        <f aca="false">Q9*Вводные!$B$26</f>
        <v>26040.438</v>
      </c>
      <c r="R15" s="15" t="n">
        <f aca="false">R9*Вводные!$B$26</f>
        <v>28134.036</v>
      </c>
      <c r="S15" s="15" t="n">
        <f aca="false">S9*Вводные!$B$26</f>
        <v>30388.68</v>
      </c>
      <c r="T15" s="15" t="n">
        <f aca="false">T9*Вводные!$B$26</f>
        <v>32811.372</v>
      </c>
      <c r="U15" s="15" t="n">
        <f aca="false">U9*Вводные!$B$26</f>
        <v>35437.122</v>
      </c>
      <c r="V15" s="15" t="n">
        <f aca="false">V9*Вводные!$B$26</f>
        <v>38265.93</v>
      </c>
      <c r="W15" s="15" t="n">
        <f aca="false">W9*Вводные!$B$26</f>
        <v>41339.808</v>
      </c>
      <c r="X15" s="15" t="n">
        <f aca="false">X9*Вводные!$B$26</f>
        <v>44658.756</v>
      </c>
      <c r="Y15" s="15" t="n">
        <f aca="false">Y9*Вводные!$B$26</f>
        <v>48229.776</v>
      </c>
    </row>
    <row r="16" customFormat="false" ht="15" hidden="false" customHeight="false" outlineLevel="0" collapsed="false">
      <c r="A16" s="21" t="s">
        <v>99</v>
      </c>
      <c r="B16" s="15" t="n">
        <f aca="false">Вводные!$B$23+Вводные!$B$27</f>
        <v>630</v>
      </c>
      <c r="C16" s="15" t="n">
        <f aca="false">Вводные!$B$23+Вводные!$B$27</f>
        <v>630</v>
      </c>
      <c r="D16" s="15" t="n">
        <f aca="false">Вводные!$B$23+Вводные!$B$27</f>
        <v>630</v>
      </c>
      <c r="E16" s="15" t="n">
        <f aca="false">Вводные!$B$23+Вводные!$B$27</f>
        <v>630</v>
      </c>
      <c r="F16" s="15" t="n">
        <f aca="false">Вводные!$B$23+Вводные!$B$27</f>
        <v>630</v>
      </c>
      <c r="G16" s="15" t="n">
        <f aca="false">Вводные!$B$23+Вводные!$B$27</f>
        <v>630</v>
      </c>
      <c r="H16" s="15" t="n">
        <f aca="false">Вводные!$B$23+Вводные!$B$27</f>
        <v>630</v>
      </c>
      <c r="I16" s="15" t="n">
        <f aca="false">Вводные!$B$23+Вводные!$B$27</f>
        <v>630</v>
      </c>
      <c r="J16" s="15" t="n">
        <f aca="false">Вводные!$B$23+Вводные!$B$27</f>
        <v>630</v>
      </c>
      <c r="K16" s="15" t="n">
        <f aca="false">Вводные!$B$23+Вводные!$B$27</f>
        <v>630</v>
      </c>
      <c r="L16" s="15" t="n">
        <f aca="false">Вводные!$B$23+Вводные!$B$27</f>
        <v>630</v>
      </c>
      <c r="M16" s="15" t="n">
        <f aca="false">Вводные!$B$23+Вводные!$B$27</f>
        <v>630</v>
      </c>
      <c r="N16" s="15" t="n">
        <f aca="false">Вводные!$B$23+Вводные!$B$27</f>
        <v>630</v>
      </c>
      <c r="O16" s="15" t="n">
        <f aca="false">Вводные!$B$23+Вводные!$B$27</f>
        <v>630</v>
      </c>
      <c r="P16" s="15" t="n">
        <f aca="false">Вводные!$B$23+Вводные!$B$27</f>
        <v>630</v>
      </c>
      <c r="Q16" s="15" t="n">
        <f aca="false">Вводные!$B$23+Вводные!$B$27</f>
        <v>630</v>
      </c>
      <c r="R16" s="15" t="n">
        <f aca="false">Вводные!$B$23+Вводные!$B$27</f>
        <v>630</v>
      </c>
      <c r="S16" s="15" t="n">
        <f aca="false">Вводные!$B$23+Вводные!$B$27</f>
        <v>630</v>
      </c>
      <c r="T16" s="15" t="n">
        <f aca="false">Вводные!$B$23+Вводные!$B$27</f>
        <v>630</v>
      </c>
      <c r="U16" s="15" t="n">
        <f aca="false">Вводные!$B$23+Вводные!$B$27</f>
        <v>630</v>
      </c>
      <c r="V16" s="15" t="n">
        <f aca="false">Вводные!$B$23+Вводные!$B$27</f>
        <v>630</v>
      </c>
      <c r="W16" s="15" t="n">
        <f aca="false">Вводные!$B$23+Вводные!$B$27</f>
        <v>630</v>
      </c>
      <c r="X16" s="15" t="n">
        <f aca="false">Вводные!$B$23+Вводные!$B$27</f>
        <v>630</v>
      </c>
      <c r="Y16" s="15" t="n">
        <f aca="false">Вводные!$B$23+Вводные!$B$27</f>
        <v>630</v>
      </c>
    </row>
    <row r="17" customFormat="false" ht="15" hidden="false" customHeight="false" outlineLevel="0" collapsed="false">
      <c r="A17" s="22" t="s">
        <v>100</v>
      </c>
      <c r="B17" s="23" t="n">
        <f aca="false">B13-B14-B15-B16</f>
        <v>28094.24</v>
      </c>
      <c r="C17" s="23" t="n">
        <f aca="false">C13-C14-C15-C16</f>
        <v>31012.1792</v>
      </c>
      <c r="D17" s="23" t="n">
        <f aca="false">D13-D14-D15-D16</f>
        <v>41748.9876</v>
      </c>
      <c r="E17" s="23" t="n">
        <f aca="false">E13-E14-E15-E16</f>
        <v>45845.43824</v>
      </c>
      <c r="F17" s="23" t="n">
        <f aca="false">F13-F14-F15-F16</f>
        <v>50163.39432</v>
      </c>
      <c r="G17" s="23" t="n">
        <f aca="false">G13-G14-G15-G16</f>
        <v>54924.66128</v>
      </c>
      <c r="H17" s="23" t="n">
        <f aca="false">H13-H14-H15-H16</f>
        <v>60091.05488</v>
      </c>
      <c r="I17" s="23" t="n">
        <f aca="false">I13-I14-I15-I16</f>
        <v>65517.03816</v>
      </c>
      <c r="J17" s="23" t="n">
        <f aca="false">J13-J14-J15-J16</f>
        <v>71386.33232</v>
      </c>
      <c r="K17" s="23" t="n">
        <f aca="false">K13-K14-K15-K16</f>
        <v>77844.37432</v>
      </c>
      <c r="L17" s="23" t="n">
        <f aca="false">L13-L14-L15-L16</f>
        <v>84745.5272</v>
      </c>
      <c r="M17" s="23" t="n">
        <f aca="false">M13-M14-M15-M16</f>
        <v>92311.5964</v>
      </c>
      <c r="N17" s="23" t="n">
        <f aca="false">N13-N14-N15-N16</f>
        <v>96320.77648</v>
      </c>
      <c r="O17" s="23" t="n">
        <f aca="false">O13-O14-O15-O16</f>
        <v>104994.87288</v>
      </c>
      <c r="P17" s="23" t="n">
        <f aca="false">P13-P14-P15-P16</f>
        <v>114479.32256</v>
      </c>
      <c r="Q17" s="23" t="n">
        <f aca="false">Q13-Q14-Q15-Q16</f>
        <v>124628.48856</v>
      </c>
      <c r="R17" s="23" t="n">
        <f aca="false">R13-R14-R15-R16</f>
        <v>135664.17632</v>
      </c>
      <c r="S17" s="23" t="n">
        <f aca="false">S13-S14-S15-S16</f>
        <v>147548.2016</v>
      </c>
      <c r="T17" s="23" t="n">
        <f aca="false">T13-T14-T15-T16</f>
        <v>160318.64864</v>
      </c>
      <c r="U17" s="23" t="n">
        <f aca="false">U13-U14-U15-U16</f>
        <v>174159.13864</v>
      </c>
      <c r="V17" s="23" t="n">
        <f aca="false">V13-V14-V15-V16</f>
        <v>189069.5716</v>
      </c>
      <c r="W17" s="23" t="n">
        <f aca="false">W13-W14-W15-W16</f>
        <v>205271.65296</v>
      </c>
      <c r="X17" s="23" t="n">
        <f aca="false">X13-X14-X15-X16</f>
        <v>222765.28272</v>
      </c>
      <c r="Y17" s="23" t="n">
        <f aca="false">Y13-Y14-Y15-Y16</f>
        <v>241588.54512</v>
      </c>
      <c r="Z17" s="24"/>
    </row>
    <row r="18" customFormat="false" ht="15" hidden="false" customHeight="false" outlineLevel="0" collapsed="false">
      <c r="A18" s="22" t="s">
        <v>101</v>
      </c>
      <c r="B18" s="23" t="n">
        <f aca="false">Вводные!$B$30+B17</f>
        <v>178094.24</v>
      </c>
      <c r="C18" s="23" t="n">
        <f aca="false">B18+C17</f>
        <v>209106.4192</v>
      </c>
      <c r="D18" s="23" t="n">
        <f aca="false">C18+D17</f>
        <v>250855.4068</v>
      </c>
      <c r="E18" s="23" t="n">
        <f aca="false">D18+E17</f>
        <v>296700.84504</v>
      </c>
      <c r="F18" s="23" t="n">
        <f aca="false">E18+F17</f>
        <v>346864.23936</v>
      </c>
      <c r="G18" s="23" t="n">
        <f aca="false">F18+G17</f>
        <v>401788.90064</v>
      </c>
      <c r="H18" s="23" t="n">
        <f aca="false">G18+H17</f>
        <v>461879.95552</v>
      </c>
      <c r="I18" s="23" t="n">
        <f aca="false">H18+I17</f>
        <v>527396.99368</v>
      </c>
      <c r="J18" s="23" t="n">
        <f aca="false">I18+J17</f>
        <v>598783.326</v>
      </c>
      <c r="K18" s="23" t="n">
        <f aca="false">J18+K17</f>
        <v>676627.70032</v>
      </c>
      <c r="L18" s="23" t="n">
        <f aca="false">K18+L17</f>
        <v>761373.22752</v>
      </c>
      <c r="M18" s="23" t="n">
        <f aca="false">L18+M17</f>
        <v>853684.82392</v>
      </c>
      <c r="N18" s="23" t="n">
        <f aca="false">M18+N17</f>
        <v>950005.6004</v>
      </c>
      <c r="O18" s="23" t="n">
        <f aca="false">N18+O17</f>
        <v>1055000.47328</v>
      </c>
      <c r="P18" s="23" t="n">
        <f aca="false">O18+P17</f>
        <v>1169479.79584</v>
      </c>
      <c r="Q18" s="23" t="n">
        <f aca="false">P18+Q17</f>
        <v>1294108.2844</v>
      </c>
      <c r="R18" s="23" t="n">
        <f aca="false">Q18+R17</f>
        <v>1429772.46072</v>
      </c>
      <c r="S18" s="23" t="n">
        <f aca="false">R18+S17</f>
        <v>1577320.66232</v>
      </c>
      <c r="T18" s="23" t="n">
        <f aca="false">S18+T17</f>
        <v>1737639.31096</v>
      </c>
      <c r="U18" s="23" t="n">
        <f aca="false">T18+U17</f>
        <v>1911798.4496</v>
      </c>
      <c r="V18" s="23" t="n">
        <f aca="false">U18+V17</f>
        <v>2100868.0212</v>
      </c>
      <c r="W18" s="23" t="n">
        <f aca="false">V18+W17</f>
        <v>2306139.67416</v>
      </c>
      <c r="X18" s="23" t="n">
        <f aca="false">W18+X17</f>
        <v>2528904.95688</v>
      </c>
      <c r="Y18" s="23" t="n">
        <f aca="false">X18+Y17</f>
        <v>2770493.502</v>
      </c>
      <c r="Z18" s="24"/>
    </row>
    <row r="20" customFormat="false" ht="15" hidden="false" customHeight="false" outlineLevel="0" collapsed="false">
      <c r="A20" s="2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8" t="s">
        <v>103</v>
      </c>
    </row>
    <row r="2" customFormat="false" ht="15" hidden="false" customHeight="false" outlineLevel="0" collapsed="false">
      <c r="A2" s="19" t="s">
        <v>61</v>
      </c>
      <c r="B2" s="19" t="s">
        <v>104</v>
      </c>
      <c r="C2" s="19" t="s">
        <v>105</v>
      </c>
    </row>
    <row r="3" customFormat="false" ht="15" hidden="false" customHeight="false" outlineLevel="0" collapsed="false">
      <c r="A3" s="21" t="s">
        <v>106</v>
      </c>
      <c r="B3" s="26" t="n">
        <f aca="false">SUM('Прогноз 24 мес'!B9:M9)</f>
        <v>1021498.44</v>
      </c>
      <c r="C3" s="26" t="n">
        <f aca="false">SUM('Прогноз 24 мес'!N9:Y9)</f>
        <v>2616040.56</v>
      </c>
    </row>
    <row r="4" customFormat="false" ht="15" hidden="false" customHeight="false" outlineLevel="0" collapsed="false">
      <c r="A4" s="21" t="s">
        <v>107</v>
      </c>
      <c r="B4" s="26" t="n">
        <f aca="false">SUM('Прогноз 24 мес'!B13:M13)</f>
        <v>960469.58992</v>
      </c>
      <c r="C4" s="26" t="n">
        <f aca="false">SUM('Прогноз 24 мес'!N13:Y13)</f>
        <v>2460774.76208</v>
      </c>
    </row>
    <row r="5" customFormat="false" ht="15" hidden="false" customHeight="false" outlineLevel="0" collapsed="false">
      <c r="A5" s="21" t="s">
        <v>108</v>
      </c>
      <c r="B5" s="27" t="n">
        <f aca="false">B4/B3</f>
        <v>0.940255562132821</v>
      </c>
      <c r="C5" s="27" t="n">
        <f aca="false">C4/C3</f>
        <v>0.94064855098424</v>
      </c>
    </row>
    <row r="6" customFormat="false" ht="15" hidden="false" customHeight="false" outlineLevel="0" collapsed="false">
      <c r="A6" s="21" t="s">
        <v>100</v>
      </c>
      <c r="B6" s="26" t="n">
        <f aca="false">SUM('Прогноз 24 мес'!B17:M17)</f>
        <v>703684.82392</v>
      </c>
      <c r="C6" s="26" t="n">
        <f aca="false">SUM('Прогноз 24 мес'!N17:Y17)</f>
        <v>1916808.67808</v>
      </c>
    </row>
    <row r="7" customFormat="false" ht="15" hidden="false" customHeight="false" outlineLevel="0" collapsed="false">
      <c r="A7" s="21" t="s">
        <v>109</v>
      </c>
      <c r="B7" s="27" t="n">
        <f aca="false">B6/B3</f>
        <v>0.688875084253677</v>
      </c>
      <c r="C7" s="27" t="n">
        <f aca="false">C6/C3</f>
        <v>0.732713669424147</v>
      </c>
    </row>
    <row r="8" customFormat="false" ht="15" hidden="false" customHeight="false" outlineLevel="0" collapsed="false">
      <c r="A8" s="21" t="s">
        <v>110</v>
      </c>
      <c r="B8" s="28" t="n">
        <f aca="false">SUM('Прогноз 24 мес'!B3:M3)</f>
        <v>379.7</v>
      </c>
      <c r="C8" s="28" t="n">
        <f aca="false">SUM('Прогноз 24 мес'!N3:Y3)</f>
        <v>956.8</v>
      </c>
    </row>
    <row r="9" customFormat="false" ht="15" hidden="false" customHeight="false" outlineLevel="0" collapsed="false">
      <c r="A9" s="21" t="s">
        <v>111</v>
      </c>
      <c r="B9" s="26" t="n">
        <f aca="false">'Прогноз 24 мес'!M18</f>
        <v>853684.82392</v>
      </c>
      <c r="C9" s="26" t="n">
        <f aca="false">'Прогноз 24 мес'!Y18</f>
        <v>2770493.502</v>
      </c>
    </row>
    <row r="11" customFormat="false" ht="15" hidden="false" customHeight="false" outlineLevel="0" collapsed="false">
      <c r="A11" s="29" t="s">
        <v>112</v>
      </c>
    </row>
    <row r="12" customFormat="false" ht="15" hidden="false" customHeight="false" outlineLevel="0" collapsed="false">
      <c r="A12" s="21" t="s">
        <v>113</v>
      </c>
      <c r="B12" s="15" t="n">
        <f aca="false">Вводные!B14</f>
        <v>2334</v>
      </c>
    </row>
    <row r="13" customFormat="false" ht="15" hidden="false" customHeight="false" outlineLevel="0" collapsed="false">
      <c r="A13" s="21" t="s">
        <v>114</v>
      </c>
      <c r="B13" s="15" t="n">
        <f aca="false">Вводные!B14*(1+Вводные!B15)</f>
        <v>2800.8</v>
      </c>
    </row>
    <row r="14" customFormat="false" ht="15" hidden="false" customHeight="false" outlineLevel="0" collapsed="false">
      <c r="A14" s="21" t="s">
        <v>115</v>
      </c>
      <c r="B14" s="15" t="n">
        <f aca="false">Вводные!B31</f>
        <v>60</v>
      </c>
    </row>
    <row r="15" customFormat="false" ht="15" hidden="false" customHeight="false" outlineLevel="0" collapsed="false">
      <c r="A15" s="21" t="s">
        <v>116</v>
      </c>
      <c r="B15" s="30" t="n">
        <f aca="false">B13/B14</f>
        <v>46.68</v>
      </c>
    </row>
    <row r="16" customFormat="false" ht="15" hidden="false" customHeight="false" outlineLevel="0" collapsed="false">
      <c r="A16" s="21" t="s">
        <v>117</v>
      </c>
      <c r="B16" s="15" t="n">
        <f aca="false">Вводные!B14*Вводные!B21+Вводные!B22*3+(1-Вводные!B13)*Вводные!B12</f>
        <v>149.688</v>
      </c>
    </row>
    <row r="17" customFormat="false" ht="15" hidden="false" customHeight="false" outlineLevel="0" collapsed="false">
      <c r="A17" s="21" t="s">
        <v>118</v>
      </c>
      <c r="B17" s="15" t="n">
        <f aca="false">B12-B16</f>
        <v>2184.312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8" t="s">
        <v>119</v>
      </c>
    </row>
    <row r="2" customFormat="false" ht="15" hidden="false" customHeight="false" outlineLevel="0" collapsed="false">
      <c r="A2" s="19" t="s">
        <v>61</v>
      </c>
      <c r="B2" s="19" t="s">
        <v>120</v>
      </c>
      <c r="C2" s="19" t="s">
        <v>121</v>
      </c>
      <c r="D2" s="19" t="s">
        <v>122</v>
      </c>
    </row>
    <row r="3" customFormat="false" ht="15" hidden="false" customHeight="false" outlineLevel="0" collapsed="false">
      <c r="A3" s="21" t="s">
        <v>123</v>
      </c>
      <c r="B3" s="14" t="n">
        <v>0.04</v>
      </c>
      <c r="C3" s="27" t="n">
        <f aca="false">Вводные!B18</f>
        <v>0.08</v>
      </c>
      <c r="D3" s="14" t="n">
        <v>0.12</v>
      </c>
    </row>
    <row r="4" customFormat="false" ht="15" hidden="false" customHeight="false" outlineLevel="0" collapsed="false">
      <c r="A4" s="21" t="s">
        <v>124</v>
      </c>
      <c r="B4" s="10" t="n">
        <f aca="false">Вводные!$B$5*(((1+B3)^24)-1)/B3</f>
        <v>781.652082445876</v>
      </c>
      <c r="C4" s="10" t="n">
        <f aca="false">Вводные!$B$5*(((1+C3)^24)-1)/C3</f>
        <v>1335.29518431003</v>
      </c>
      <c r="D4" s="10" t="n">
        <f aca="false">Вводные!$B$5*(((1+D3)^24)-1)/D3</f>
        <v>2363.10482241707</v>
      </c>
    </row>
    <row r="5" customFormat="false" ht="15" hidden="false" customHeight="false" outlineLevel="0" collapsed="false">
      <c r="A5" s="21" t="s">
        <v>125</v>
      </c>
      <c r="B5" s="15" t="n">
        <f aca="false">B4*Вводные!$B$14*(1+Вводные!$B$15)</f>
        <v>2189251.15251441</v>
      </c>
      <c r="C5" s="15" t="n">
        <f aca="false">C4*Вводные!$B$14*(1+Вводные!$B$15)</f>
        <v>3739894.75221553</v>
      </c>
      <c r="D5" s="15" t="n">
        <f aca="false">D4*Вводные!$B$14*(1+Вводные!$B$15)</f>
        <v>6618583.98662574</v>
      </c>
    </row>
    <row r="6" customFormat="false" ht="15" hidden="false" customHeight="false" outlineLevel="0" collapsed="false">
      <c r="A6" s="21" t="s">
        <v>126</v>
      </c>
      <c r="B6" s="15" t="n">
        <f aca="false">Вводные!$B$5*((1+B3)^23)*Вводные!$B$14*(1+Вводные!$B$15)</f>
        <v>138063.505865939</v>
      </c>
      <c r="C6" s="15" t="n">
        <f aca="false">Вводные!$B$5*((1+C3)^23)*Вводные!$B$14*(1+Вводные!$B$15)</f>
        <v>328895.907571521</v>
      </c>
      <c r="D6" s="15" t="n">
        <f aca="false">Вводные!$B$5*((1+D3)^23)*Вводные!$B$14*(1+Вводные!$B$15)</f>
        <v>759148.284281328</v>
      </c>
    </row>
    <row r="8" customFormat="false" ht="15" hidden="false" customHeight="false" outlineLevel="0" collapsed="false">
      <c r="A8" s="2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2026-07-23T03:14:06Z</dcterms:created>
  <dc:creator>openpyxl</dc:creator>
  <dc:description/>
  <dc:language>en-US</dc:language>
  <cp:lastModifiedBy/>
  <dcterms:modified xsi:type="dcterms:W3CDTF">2026-07-23T03:14:06Z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